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defaultThemeVersion="202300"/>
  <xr:revisionPtr revIDLastSave="0" documentId="13_ncr:1_{D420460D-CEEC-4DF9-AE5C-365C4D192AD6}" xr6:coauthVersionLast="47" xr6:coauthVersionMax="47" xr10:uidLastSave="{00000000-0000-0000-0000-000000000000}"/>
  <bookViews>
    <workbookView xWindow="-96" yWindow="-96" windowWidth="23232" windowHeight="13152" xr2:uid="{00000000-000D-0000-FFFF-FFFF00000000}"/>
  </bookViews>
  <sheets>
    <sheet name="Sprint" sheetId="3" r:id="rId1"/>
    <sheet name="Backlog" sheetId="2" r:id="rId2"/>
    <sheet name="Tong quan" sheetId="1" r:id="rId3"/>
  </sheets>
  <definedNames>
    <definedName name="_xlnm._FilterDatabase">Sprint!$A$1:$F$5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8" i="1"/>
  <c r="B7" i="1"/>
  <c r="B6" i="1"/>
  <c r="B5" i="1"/>
  <c r="B4" i="1"/>
</calcChain>
</file>

<file path=xl/sharedStrings.xml><?xml version="1.0" encoding="utf-8"?>
<sst xmlns="http://schemas.openxmlformats.org/spreadsheetml/2006/main" count="184" uniqueCount="141">
  <si>
    <t>Sprint</t>
  </si>
  <si>
    <t>Mục tiêu</t>
  </si>
  <si>
    <t>Task dự kiến</t>
  </si>
  <si>
    <t>Review: demo gì?</t>
  </si>
  <si>
    <t>Retrospective: câu hỏi</t>
  </si>
  <si>
    <t>Trạng thái tổng quan</t>
  </si>
  <si>
    <t>Sprint 1</t>
  </si>
  <si>
    <t>Dựng nền và hiển thị/chọn món</t>
  </si>
  <si>
    <t>Task 1–4</t>
  </si>
  <si>
    <t>Mở menu; xem chi tiết; chọn size/topping; kiểm tra giá.</t>
  </si>
  <si>
    <t>Điều gì giúp hoàn tất menu? Dữ liệu/API có thống nhất sớm không?</t>
  </si>
  <si>
    <t>Sprint 2</t>
  </si>
  <si>
    <t>Giỏ hàng, tạo đơn và đăng nhập</t>
  </si>
  <si>
    <t>Task 5–7</t>
  </si>
  <si>
    <t>Thêm món vào giỏ; đổi số lượng; tạo đơn; đăng nhập.</t>
  </si>
  <si>
    <t>Có bị chờ API hay thiếu dữ liệu test không? Cần chốt gì trước Sprint 3?</t>
  </si>
  <si>
    <t>Chưa bắt đầu.</t>
  </si>
  <si>
    <t>Sprint 3</t>
  </si>
  <si>
    <t>Thanh toán, nghiệp vụ nâng cao và bàn giao</t>
  </si>
  <si>
    <t>Task 8–10, F-02, F-04</t>
  </si>
  <si>
    <t>Chạy luồng end-to-end; demo thanh toán mock và xác nhận đơn; trình bày Docker Compose.</t>
  </si>
  <si>
    <t>Một điều làm tốt; một vướng mắc; một cải thiện có người theo dõi.</t>
  </si>
  <si>
    <t>Xuyên suốt</t>
  </si>
  <si>
    <t>Điều phối và tài liệu</t>
  </si>
  <si>
    <t>F-01, F-03</t>
  </si>
  <si>
    <t>Kiểm tra README theo từng mốc.</t>
  </si>
  <si>
    <t>Cập nhật khi cần; chốt hành động cụ thể, người theo dõi và hạn kiểm tra.</t>
  </si>
  <si>
    <t>README ban đầu đã có; phân công A–E chờ bình chọn lại.</t>
  </si>
  <si>
    <t>ID</t>
  </si>
  <si>
    <t>Task / công việc</t>
  </si>
  <si>
    <t>Tiêu chí hoàn thành / checklist</t>
  </si>
  <si>
    <t>Mảng</t>
  </si>
  <si>
    <t>Người phụ trách</t>
  </si>
  <si>
    <t>Trạng thái</t>
  </si>
  <si>
    <t>Ưu tiên / phụ thuộc</t>
  </si>
  <si>
    <t>Branch / PR</t>
  </si>
  <si>
    <t>Ngày dự kiến</t>
  </si>
  <si>
    <t>Ngày xong</t>
  </si>
  <si>
    <t>Ghi chú</t>
  </si>
  <si>
    <t>Task 1</t>
  </si>
  <si>
    <t>Khởi tạo dự án và cấu trúc</t>
  </si>
  <si>
    <t>[x] Có frontend Next.js và backend NestJS; [x] README, Git, .env.example; [x] build được.</t>
  </si>
  <si>
    <t>F — Kiệt</t>
  </si>
  <si>
    <t>Kiệt</t>
  </si>
  <si>
    <t>Đã xong</t>
  </si>
  <si>
    <t>Nền tảng</t>
  </si>
  <si>
    <t>Task 1 đã dựng khung và push lên main.</t>
  </si>
  <si>
    <t>Task 2</t>
  </si>
  <si>
    <t>API danh sách sản phẩm</t>
  </si>
  <si>
    <t>[ ] GET /products trả JSON menu có id, tên, giá, ảnh từ dữ liệu mẫu hoặc CSDL.</t>
  </si>
  <si>
    <t>C</t>
  </si>
  <si>
    <t>Luân</t>
  </si>
  <si>
    <t>Đang làm</t>
  </si>
  <si>
    <t>Sau Task 1; phối hợp A về cấu trúc dữ liệu</t>
  </si>
  <si>
    <t>Owner cập nhật theo kết quả bình chọn ngày 07/10/2026.</t>
  </si>
  <si>
    <t>Task 3</t>
  </si>
  <si>
    <t>Trang menu (frontend)</t>
  </si>
  <si>
    <t>A</t>
  </si>
  <si>
    <t>Triệu</t>
  </si>
  <si>
    <t>Sau thống nhất hợp đồng dữ liệu với C; có thể dùng dữ liệu mẫu trước</t>
  </si>
  <si>
    <t>Task 4</t>
  </si>
  <si>
    <t>Chi tiết và tùy chọn sản phẩm</t>
  </si>
  <si>
    <t>Chưa bắt đầu</t>
  </si>
  <si>
    <t>Dựa trên danh sách sản phẩm Task 2–3</t>
  </si>
  <si>
    <t>Task 5</t>
  </si>
  <si>
    <t>Giỏ hàng (Cart)</t>
  </si>
  <si>
    <t>[ ] Thêm/sửa số lượng/xóa; [ ] giữ trạng thái giỏ; [ ] tính tổng tiền; [ ] badge số lượng.</t>
  </si>
  <si>
    <t>B</t>
  </si>
  <si>
    <t>Lượng</t>
  </si>
  <si>
    <t>Phối hợp A để nhận lựa chọn size/topping</t>
  </si>
  <si>
    <t>Task 6</t>
  </si>
  <si>
    <t>API tạo đơn hàng</t>
  </si>
  <si>
    <t>[ ] POST /orders nhận giỏ; [ ] validate đầu vào; [ ] lưu đơn PENDING; [ ] trả mã đơn.</t>
  </si>
  <si>
    <t>Cần chốt schema đơn và sản phẩm; phối hợp B/E</t>
  </si>
  <si>
    <t>Task 7</t>
  </si>
  <si>
    <t>Đăng ký / đăng nhập (JWT)</t>
  </si>
  <si>
    <t>[ ] POST /auth/register và /auth/login; [ ] băm mật khẩu bcrypt; [ ] phát JWT; [ ] bảo vệ route đặt đơn.</t>
  </si>
  <si>
    <t>D</t>
  </si>
  <si>
    <t>Hùng</t>
  </si>
  <si>
    <t>Phối hợp C về userId trong đơn hàng</t>
  </si>
  <si>
    <t>Lượng làm UI; Hùng làm API thanh toán; Kha hỗ trợ yêu cầu idempotency Task 10.</t>
  </si>
  <si>
    <t>Task 8</t>
  </si>
  <si>
    <t>Thanh toán không tiền mặt (mock)</t>
  </si>
  <si>
    <t>[ ] Chọn Ví/Thẻ; [ ] POST /payments; [ ] thành công → PAID; [ ] lỗi → PAYMENT_FAILED.</t>
  </si>
  <si>
    <t>B + D</t>
  </si>
  <si>
    <t>Lượng + Hùng</t>
  </si>
  <si>
    <t>B làm UI, D làm API; E hỗ trợ idempotency Task 10</t>
  </si>
  <si>
    <t>Lượng làm UI xác nhận/lịch sử; Luân hỗ trợ API GET /orders/me; Kiệt lo Docker Compose, README và demo.</t>
  </si>
  <si>
    <t>Task 9</t>
  </si>
  <si>
    <t>Xác nhận, lịch sử đơn và bàn giao</t>
  </si>
  <si>
    <t>[ ] Màn hình mã đơn/trạng thái; [ ] GET /orders/me; [ ] Docker Compose chạy frontend/backend/DB; [ ] README; [ ] demo end-to-end.</t>
  </si>
  <si>
    <t>B + C + F</t>
  </si>
  <si>
    <t>Lượng + Luân + Kiệt</t>
  </si>
  <si>
    <t>B UI; C API; F tích hợp, Compose, README, demo</t>
  </si>
  <si>
    <t>Kha phụ trách; phối hợp Luân về đơn/tồn kho và Hùng về thanh toán.</t>
  </si>
  <si>
    <t>Task 10</t>
  </si>
  <si>
    <t>Nghiệp vụ backend nâng cao</t>
  </si>
  <si>
    <t>[ ] State machine chặn chuyển trạng thái sai; [ ] Idempotency-Key chống xử lý lặp; [ ] transaction/optimistic locking giữ tồn kho; [ ] khuyến mãi/điểm thưởng; [ ] unit/integration tests.</t>
  </si>
  <si>
    <t>E + C + D</t>
  </si>
  <si>
    <t>Kha (phối hợp Luân, Hùng)</t>
  </si>
  <si>
    <t>E phụ trách; C hỗ trợ đơn/tồn kho, D hỗ trợ thanh toán; bắt đầu thiết kế sớm</t>
  </si>
  <si>
    <t>F-01</t>
  </si>
  <si>
    <t>Điều phối và thống nhất API</t>
  </si>
  <si>
    <t>[ ] Ghi quyết định API/schema dùng chung; [ ] theo dõi vướng mắc và người xử lý; [ ] không để A–E trùng việc.</t>
  </si>
  <si>
    <t>F-02</t>
  </si>
  <si>
    <t>Docker Compose</t>
  </si>
  <si>
    <t>[ ] Một lệnh chạy frontend, backend, PostgreSQL; [ ] cấu hình local; [ ] không đưa secret vào Git.</t>
  </si>
  <si>
    <t>Sau khi các app và DB tích hợp ổn</t>
  </si>
  <si>
    <t>F-03</t>
  </si>
  <si>
    <t>README và hướng dẫn chạy</t>
  </si>
  <si>
    <t>[ ] Yêu cầu cài đặt; [ ] lệnh chạy; [ ] cấu hình .env.example; [ ] hướng dẫn demo và test.</t>
  </si>
  <si>
    <t>Cập nhật cùng tiến độ; hoàn thiện ở Sprint 3</t>
  </si>
  <si>
    <t>README ban đầu đã có, tiếp tục bổ sung.</t>
  </si>
  <si>
    <t>F-04</t>
  </si>
  <si>
    <t>Tích hợp và chuẩn bị demo</t>
  </si>
  <si>
    <t>[ ] Thử menu → giỏ → thanh toán → xác nhận; [ ] ghi lỗi còn lại; [ ] phân vai demo; [ ] chuẩn bị dữ liệu mẫu.</t>
  </si>
  <si>
    <t>Sau khi các chức năng chính đã ghép được</t>
  </si>
  <si>
    <t>BREWLITE | BẢNG THEO DÕI TIẾN ĐỘ</t>
  </si>
  <si>
    <t>Repository</t>
  </si>
  <si>
    <t>Mở repository BrewLite</t>
  </si>
  <si>
    <t>Cách dùng</t>
  </si>
  <si>
    <t>Task chấm điểm hoàn thành</t>
  </si>
  <si>
    <t>Tiến độ task chấm điểm</t>
  </si>
  <si>
    <t>Chờ review / phối hợp</t>
  </si>
  <si>
    <t>Bị chặn</t>
  </si>
  <si>
    <t>Kiệt — mảng F</t>
  </si>
  <si>
    <t>Kiệt phụ trách điều phối, tích hợp, README, Docker Compose và demo. Task 1 đã dựng khung và được đánh dấu hoàn thành.</t>
  </si>
  <si>
    <t>Phân công</t>
  </si>
  <si>
    <t>A–E đã bình chọn: A Triệu, B Lượng, C Luân, D Hùng, E Kha. F: Kiệt.</t>
  </si>
  <si>
    <t>Thời hạn</t>
  </si>
  <si>
    <t>Chưa có ngày hạn trong thông tin hiện tại; điền khi nhóm xác nhận.</t>
  </si>
  <si>
    <t>[x] Chi tiết sản phẩm; [x] chọn size và topping; [x] tính giá theo tùy chọn (đã thử Americano: 40.000₫ → 45.000₫ size M → 55.000₫ thêm topping).</t>
  </si>
  <si>
    <t>Cập nhật checklist/trạng thái/ghi chú ở sheet Backlog sau khi xác minh; ghi rõ phụ thuộc và người cần phối hợp.</t>
  </si>
  <si>
    <t>Chờ review</t>
  </si>
  <si>
    <t>17/10: GET /products đã chạy và trả 10 sản phẩm; backend build/lint qua. E2E test còn kỳ vọng 4 món nên thất bại; Luân cập nhật test khớp dữ liệu hiện tại rồi chạy lại.</t>
  </si>
  <si>
    <t>[x] Gọi GET /products; [x] hiển thị lưới sản phẩm; [x] có loading/empty state.</t>
  </si>
  <si>
    <t>17/10: Frontend đã nối API, tải và hiển thị 10 món; frontend lint/build qua. Còn cần chỉnh ánh xạ danh mục/mô tả vì Soda việt quất và Matcha Latte hiện bị nhận là Cà phê; phối hợp Luân nếu cần thêm category/description vào API.</t>
  </si>
  <si>
    <t>17/10/2026</t>
  </si>
  <si>
    <t>17/10: Đã kiểm tra chọn size/topping, giá tăng đúng và thêm vào giỏ; frontend lint và build đều qua sau khi sửa lỗi effect và đổi 2 ảnh sang next/image.</t>
  </si>
  <si>
    <t>17/10: API GET /products đã được Luân triển khai và Triệu đã nối frontend. Kiệt theo dõi test backend còn lỗi kỳ vọng số lượng cũ và việc ánh xạ danh mục trên frontend.</t>
  </si>
  <si>
    <t>Task 1 hoàn tất; Task 2 có API trả 10 món, chờ cập nhật test (đang kỳ vọng 4); Task 3 đã nối API nhưng còn chỉnh phân loại một số món; Task 4 đã kiểm tra size/topping và giá, frontend lint/build 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</si>
</sst>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0"/>
      <color theme="1"/>
      <name val="Aptos"/>
      <family val="2"/>
    </font>
    <font>
      <b/>
      <sz val="10"/>
      <color rgb="FFFFFFFF"/>
      <name val="Aptos"/>
      <family val="2"/>
    </font>
    <font>
      <b/>
      <sz val="18"/>
      <color rgb="FFFFFFFF"/>
      <name val="Aptos"/>
      <family val="2"/>
    </font>
    <font>
      <b/>
      <sz val="10"/>
      <color theme="1"/>
      <name val="Aptos"/>
      <family val="2"/>
    </font>
    <font>
      <u/>
      <sz val="11"/>
      <color theme="10"/>
      <name val="Arial"/>
      <family val="2"/>
      <charset val="163"/>
      <scheme val="minor"/>
    </font>
  </fonts>
  <fills count="3">
    <fill>
      <patternFill patternType="none"/>
    </fill>
    <fill>
      <patternFill patternType="gray125"/>
    </fill>
    <fill>
      <patternFill patternType="solid">
        <fgColor rgb="FF1F497D"/>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center" vertical="top" wrapText="1"/>
    </xf>
    <xf numFmtId="0" fontId="1" fillId="0" borderId="0" xfId="0" applyFont="1" applyAlignment="1">
      <alignment vertical="top" wrapText="1"/>
    </xf>
    <xf numFmtId="0" fontId="4" fillId="0" borderId="0" xfId="0" applyFont="1" applyAlignment="1">
      <alignment wrapText="1"/>
    </xf>
    <xf numFmtId="0" fontId="1" fillId="0" borderId="0" xfId="0" applyFont="1" applyAlignment="1">
      <alignment wrapText="1"/>
    </xf>
    <xf numFmtId="9" fontId="1" fillId="0" borderId="0" xfId="0" applyNumberFormat="1" applyFont="1" applyAlignment="1">
      <alignment wrapText="1"/>
    </xf>
    <xf numFmtId="0" fontId="1" fillId="0" borderId="0" xfId="0" applyFont="1" applyAlignment="1">
      <alignment wrapText="1"/>
    </xf>
    <xf numFmtId="0" fontId="1" fillId="0" borderId="0" xfId="0" applyFont="1"/>
    <xf numFmtId="0" fontId="3" fillId="2" borderId="0" xfId="0" applyFont="1" applyFill="1"/>
    <xf numFmtId="0" fontId="5" fillId="0" borderId="0" xfId="0" applyFont="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ngtuankiet241-cmd/BrewL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zoomScaleNormal="100" workbookViewId="0"/>
  </sheetViews>
  <sheetFormatPr defaultRowHeight="12.9" customHeight="1" x14ac:dyDescent="0.5"/>
  <cols>
    <col min="1" max="1" width="16.6171875" style="1" customWidth="1"/>
    <col min="2" max="2" width="38.6171875" style="1" customWidth="1"/>
    <col min="3" max="3" width="28.6171875" style="1" customWidth="1"/>
    <col min="4" max="5" width="60.6171875" style="1" customWidth="1"/>
    <col min="6" max="6" width="48.6171875" style="1" customWidth="1"/>
    <col min="7" max="7" width="8.76171875" style="1" customWidth="1"/>
    <col min="8" max="16384" width="8.76171875" style="1"/>
  </cols>
  <sheetData>
    <row r="1" spans="1:6" ht="32.049999999999997" customHeight="1" x14ac:dyDescent="0.5">
      <c r="A1" s="2" t="s">
        <v>0</v>
      </c>
      <c r="B1" s="2" t="s">
        <v>1</v>
      </c>
      <c r="C1" s="2" t="s">
        <v>2</v>
      </c>
      <c r="D1" s="2" t="s">
        <v>3</v>
      </c>
      <c r="E1" s="2" t="s">
        <v>4</v>
      </c>
      <c r="F1" s="2" t="s">
        <v>5</v>
      </c>
    </row>
    <row r="2" spans="1:6" ht="76" customHeight="1" x14ac:dyDescent="0.5">
      <c r="A2" s="3" t="s">
        <v>6</v>
      </c>
      <c r="B2" s="3" t="s">
        <v>7</v>
      </c>
      <c r="C2" s="3" t="s">
        <v>8</v>
      </c>
      <c r="D2" s="3" t="s">
        <v>9</v>
      </c>
      <c r="E2" s="3" t="s">
        <v>10</v>
      </c>
      <c r="F2" s="3" t="s">
        <v>140</v>
      </c>
    </row>
    <row r="3" spans="1:6" ht="76" customHeight="1" x14ac:dyDescent="0.5">
      <c r="A3" s="3" t="s">
        <v>11</v>
      </c>
      <c r="B3" s="3" t="s">
        <v>12</v>
      </c>
      <c r="C3" s="3" t="s">
        <v>13</v>
      </c>
      <c r="D3" s="3" t="s">
        <v>14</v>
      </c>
      <c r="E3" s="3" t="s">
        <v>15</v>
      </c>
      <c r="F3" s="3" t="s">
        <v>16</v>
      </c>
    </row>
    <row r="4" spans="1:6" ht="76" customHeight="1" x14ac:dyDescent="0.5">
      <c r="A4" s="3" t="s">
        <v>17</v>
      </c>
      <c r="B4" s="3" t="s">
        <v>18</v>
      </c>
      <c r="C4" s="3" t="s">
        <v>19</v>
      </c>
      <c r="D4" s="3" t="s">
        <v>20</v>
      </c>
      <c r="E4" s="3" t="s">
        <v>21</v>
      </c>
      <c r="F4" s="3" t="s">
        <v>16</v>
      </c>
    </row>
    <row r="5" spans="1:6" ht="76" customHeight="1" x14ac:dyDescent="0.5">
      <c r="A5" s="3" t="s">
        <v>22</v>
      </c>
      <c r="B5" s="3" t="s">
        <v>23</v>
      </c>
      <c r="C5" s="3" t="s">
        <v>24</v>
      </c>
      <c r="D5" s="3" t="s">
        <v>25</v>
      </c>
      <c r="E5" s="3" t="s">
        <v>26</v>
      </c>
      <c r="F5"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zoomScaleNormal="100" workbookViewId="0"/>
  </sheetViews>
  <sheetFormatPr defaultRowHeight="12.9" customHeight="1" x14ac:dyDescent="0.5"/>
  <cols>
    <col min="1" max="1" width="12.6171875" style="1" customWidth="1"/>
    <col min="2" max="2" width="13.6171875" style="1" customWidth="1"/>
    <col min="3" max="3" width="32.6171875" style="1" customWidth="1"/>
    <col min="4" max="4" width="68.6171875" style="1" customWidth="1"/>
    <col min="5" max="5" width="20.6171875" style="1" customWidth="1"/>
    <col min="6" max="6" width="25.6171875" style="1" customWidth="1"/>
    <col min="7" max="7" width="19.6171875" style="1" customWidth="1"/>
    <col min="8" max="8" width="50.6171875" style="1" customWidth="1"/>
    <col min="9" max="9" width="28.6171875" style="1" customWidth="1"/>
    <col min="10" max="11" width="15.6171875" style="1" customWidth="1"/>
    <col min="12" max="12" width="45.6171875" style="1" customWidth="1"/>
    <col min="13" max="13" width="8.76171875" style="1" customWidth="1"/>
    <col min="14" max="16384" width="8.76171875" style="1"/>
  </cols>
  <sheetData>
    <row r="1" spans="1:12" ht="34" customHeight="1" x14ac:dyDescent="0.5">
      <c r="A1" s="2" t="s">
        <v>28</v>
      </c>
      <c r="B1" s="2" t="s">
        <v>0</v>
      </c>
      <c r="C1" s="2" t="s">
        <v>29</v>
      </c>
      <c r="D1" s="2" t="s">
        <v>30</v>
      </c>
      <c r="E1" s="2" t="s">
        <v>31</v>
      </c>
      <c r="F1" s="2" t="s">
        <v>32</v>
      </c>
      <c r="G1" s="2" t="s">
        <v>33</v>
      </c>
      <c r="H1" s="2" t="s">
        <v>34</v>
      </c>
      <c r="I1" s="2" t="s">
        <v>35</v>
      </c>
      <c r="J1" s="2" t="s">
        <v>36</v>
      </c>
      <c r="K1" s="2" t="s">
        <v>37</v>
      </c>
      <c r="L1" s="2" t="s">
        <v>38</v>
      </c>
    </row>
    <row r="2" spans="1:12" ht="58" customHeight="1" x14ac:dyDescent="0.5">
      <c r="A2" s="3" t="s">
        <v>39</v>
      </c>
      <c r="B2" s="3" t="s">
        <v>6</v>
      </c>
      <c r="C2" s="3" t="s">
        <v>40</v>
      </c>
      <c r="D2" s="3" t="s">
        <v>41</v>
      </c>
      <c r="E2" s="3" t="s">
        <v>42</v>
      </c>
      <c r="F2" s="3" t="s">
        <v>43</v>
      </c>
      <c r="G2" s="3" t="s">
        <v>44</v>
      </c>
      <c r="H2" s="3" t="s">
        <v>45</v>
      </c>
      <c r="I2" s="3"/>
      <c r="J2" s="3"/>
      <c r="K2" s="3"/>
      <c r="L2" s="3" t="s">
        <v>46</v>
      </c>
    </row>
    <row r="3" spans="1:12" ht="58" customHeight="1" x14ac:dyDescent="0.5">
      <c r="A3" s="3" t="s">
        <v>47</v>
      </c>
      <c r="B3" s="3" t="s">
        <v>6</v>
      </c>
      <c r="C3" s="3" t="s">
        <v>48</v>
      </c>
      <c r="D3" s="3" t="s">
        <v>49</v>
      </c>
      <c r="E3" s="3" t="s">
        <v>50</v>
      </c>
      <c r="F3" s="3" t="s">
        <v>51</v>
      </c>
      <c r="G3" s="3" t="s">
        <v>133</v>
      </c>
      <c r="H3" s="3" t="s">
        <v>53</v>
      </c>
      <c r="I3" s="3"/>
      <c r="J3" s="3"/>
      <c r="K3" s="3"/>
      <c r="L3" s="3" t="s">
        <v>134</v>
      </c>
    </row>
    <row r="4" spans="1:12" ht="58" customHeight="1" x14ac:dyDescent="0.5">
      <c r="A4" s="3" t="s">
        <v>55</v>
      </c>
      <c r="B4" s="3" t="s">
        <v>6</v>
      </c>
      <c r="C4" s="3" t="s">
        <v>56</v>
      </c>
      <c r="D4" s="3" t="s">
        <v>135</v>
      </c>
      <c r="E4" s="3" t="s">
        <v>57</v>
      </c>
      <c r="F4" s="3" t="s">
        <v>58</v>
      </c>
      <c r="G4" s="3" t="s">
        <v>52</v>
      </c>
      <c r="H4" s="3" t="s">
        <v>59</v>
      </c>
      <c r="I4" s="3"/>
      <c r="J4" s="3"/>
      <c r="K4" s="3"/>
      <c r="L4" s="3" t="s">
        <v>136</v>
      </c>
    </row>
    <row r="5" spans="1:12" ht="58" customHeight="1" x14ac:dyDescent="0.5">
      <c r="A5" s="3" t="s">
        <v>60</v>
      </c>
      <c r="B5" s="3" t="s">
        <v>6</v>
      </c>
      <c r="C5" s="3" t="s">
        <v>61</v>
      </c>
      <c r="D5" s="3" t="s">
        <v>131</v>
      </c>
      <c r="E5" s="3" t="s">
        <v>57</v>
      </c>
      <c r="F5" s="3" t="s">
        <v>58</v>
      </c>
      <c r="G5" s="3" t="s">
        <v>44</v>
      </c>
      <c r="H5" s="3" t="s">
        <v>63</v>
      </c>
      <c r="I5" s="3"/>
      <c r="J5" s="3"/>
      <c r="K5" s="3" t="s">
        <v>137</v>
      </c>
      <c r="L5" s="3" t="s">
        <v>138</v>
      </c>
    </row>
    <row r="6" spans="1:12" ht="58" customHeight="1" x14ac:dyDescent="0.5">
      <c r="A6" s="3" t="s">
        <v>64</v>
      </c>
      <c r="B6" s="3" t="s">
        <v>11</v>
      </c>
      <c r="C6" s="3" t="s">
        <v>65</v>
      </c>
      <c r="D6" s="3" t="s">
        <v>66</v>
      </c>
      <c r="E6" s="3" t="s">
        <v>67</v>
      </c>
      <c r="F6" s="3" t="s">
        <v>68</v>
      </c>
      <c r="G6" s="3" t="s">
        <v>62</v>
      </c>
      <c r="H6" s="3" t="s">
        <v>69</v>
      </c>
      <c r="I6" s="3"/>
      <c r="J6" s="3"/>
      <c r="K6" s="3"/>
      <c r="L6" s="3" t="s">
        <v>54</v>
      </c>
    </row>
    <row r="7" spans="1:12" ht="58" customHeight="1" x14ac:dyDescent="0.5">
      <c r="A7" s="3" t="s">
        <v>70</v>
      </c>
      <c r="B7" s="3" t="s">
        <v>11</v>
      </c>
      <c r="C7" s="3" t="s">
        <v>71</v>
      </c>
      <c r="D7" s="3" t="s">
        <v>72</v>
      </c>
      <c r="E7" s="3" t="s">
        <v>50</v>
      </c>
      <c r="F7" s="3" t="s">
        <v>51</v>
      </c>
      <c r="G7" s="3" t="s">
        <v>62</v>
      </c>
      <c r="H7" s="3" t="s">
        <v>73</v>
      </c>
      <c r="I7" s="3"/>
      <c r="J7" s="3"/>
      <c r="K7" s="3"/>
      <c r="L7" s="3" t="s">
        <v>54</v>
      </c>
    </row>
    <row r="8" spans="1:12" ht="58" customHeight="1" x14ac:dyDescent="0.5">
      <c r="A8" s="3" t="s">
        <v>74</v>
      </c>
      <c r="B8" s="3" t="s">
        <v>11</v>
      </c>
      <c r="C8" s="3" t="s">
        <v>75</v>
      </c>
      <c r="D8" s="3" t="s">
        <v>76</v>
      </c>
      <c r="E8" s="3" t="s">
        <v>77</v>
      </c>
      <c r="F8" s="3" t="s">
        <v>78</v>
      </c>
      <c r="G8" s="3" t="s">
        <v>62</v>
      </c>
      <c r="H8" s="3" t="s">
        <v>79</v>
      </c>
      <c r="I8" s="3"/>
      <c r="J8" s="3"/>
      <c r="K8" s="3"/>
      <c r="L8" s="3" t="s">
        <v>80</v>
      </c>
    </row>
    <row r="9" spans="1:12" ht="58" customHeight="1" x14ac:dyDescent="0.5">
      <c r="A9" s="3" t="s">
        <v>81</v>
      </c>
      <c r="B9" s="3" t="s">
        <v>17</v>
      </c>
      <c r="C9" s="3" t="s">
        <v>82</v>
      </c>
      <c r="D9" s="3" t="s">
        <v>83</v>
      </c>
      <c r="E9" s="3" t="s">
        <v>84</v>
      </c>
      <c r="F9" s="3" t="s">
        <v>85</v>
      </c>
      <c r="G9" s="3" t="s">
        <v>62</v>
      </c>
      <c r="H9" s="3" t="s">
        <v>86</v>
      </c>
      <c r="I9" s="3"/>
      <c r="J9" s="3"/>
      <c r="K9" s="3"/>
      <c r="L9" s="3" t="s">
        <v>87</v>
      </c>
    </row>
    <row r="10" spans="1:12" ht="58" customHeight="1" x14ac:dyDescent="0.5">
      <c r="A10" s="3" t="s">
        <v>88</v>
      </c>
      <c r="B10" s="3" t="s">
        <v>17</v>
      </c>
      <c r="C10" s="3" t="s">
        <v>89</v>
      </c>
      <c r="D10" s="3" t="s">
        <v>90</v>
      </c>
      <c r="E10" s="3" t="s">
        <v>91</v>
      </c>
      <c r="F10" s="3" t="s">
        <v>92</v>
      </c>
      <c r="G10" s="3" t="s">
        <v>62</v>
      </c>
      <c r="H10" s="3" t="s">
        <v>93</v>
      </c>
      <c r="I10" s="3"/>
      <c r="J10" s="3"/>
      <c r="K10" s="3"/>
      <c r="L10" s="3" t="s">
        <v>94</v>
      </c>
    </row>
    <row r="11" spans="1:12" ht="58" customHeight="1" x14ac:dyDescent="0.5">
      <c r="A11" s="3" t="s">
        <v>95</v>
      </c>
      <c r="B11" s="3" t="s">
        <v>17</v>
      </c>
      <c r="C11" s="3" t="s">
        <v>96</v>
      </c>
      <c r="D11" s="3" t="s">
        <v>97</v>
      </c>
      <c r="E11" s="3" t="s">
        <v>98</v>
      </c>
      <c r="F11" s="3" t="s">
        <v>99</v>
      </c>
      <c r="G11" s="3" t="s">
        <v>62</v>
      </c>
      <c r="H11" s="3" t="s">
        <v>100</v>
      </c>
      <c r="I11" s="3"/>
      <c r="J11" s="3"/>
      <c r="K11" s="3"/>
      <c r="L11" s="3"/>
    </row>
    <row r="12" spans="1:12" ht="58" customHeight="1" x14ac:dyDescent="0.5">
      <c r="A12" s="3" t="s">
        <v>101</v>
      </c>
      <c r="B12" s="3" t="s">
        <v>22</v>
      </c>
      <c r="C12" s="3" t="s">
        <v>102</v>
      </c>
      <c r="D12" s="3" t="s">
        <v>103</v>
      </c>
      <c r="E12" s="3" t="s">
        <v>42</v>
      </c>
      <c r="F12" s="3" t="s">
        <v>43</v>
      </c>
      <c r="G12" s="3" t="s">
        <v>52</v>
      </c>
      <c r="H12" s="3" t="s">
        <v>22</v>
      </c>
      <c r="I12" s="3"/>
      <c r="J12" s="3"/>
      <c r="K12" s="3"/>
      <c r="L12" s="3" t="s">
        <v>139</v>
      </c>
    </row>
    <row r="13" spans="1:12" ht="58" customHeight="1" x14ac:dyDescent="0.5">
      <c r="A13" s="3" t="s">
        <v>104</v>
      </c>
      <c r="B13" s="3" t="s">
        <v>17</v>
      </c>
      <c r="C13" s="3" t="s">
        <v>105</v>
      </c>
      <c r="D13" s="3" t="s">
        <v>106</v>
      </c>
      <c r="E13" s="3" t="s">
        <v>42</v>
      </c>
      <c r="F13" s="3" t="s">
        <v>43</v>
      </c>
      <c r="G13" s="3" t="s">
        <v>62</v>
      </c>
      <c r="H13" s="3" t="s">
        <v>107</v>
      </c>
      <c r="I13" s="3"/>
      <c r="J13" s="3"/>
      <c r="K13" s="3"/>
      <c r="L13" s="3"/>
    </row>
    <row r="14" spans="1:12" ht="58" customHeight="1" x14ac:dyDescent="0.5">
      <c r="A14" s="3" t="s">
        <v>108</v>
      </c>
      <c r="B14" s="3" t="s">
        <v>22</v>
      </c>
      <c r="C14" s="3" t="s">
        <v>109</v>
      </c>
      <c r="D14" s="3" t="s">
        <v>110</v>
      </c>
      <c r="E14" s="3" t="s">
        <v>42</v>
      </c>
      <c r="F14" s="3" t="s">
        <v>43</v>
      </c>
      <c r="G14" s="3" t="s">
        <v>52</v>
      </c>
      <c r="H14" s="3" t="s">
        <v>111</v>
      </c>
      <c r="I14" s="3"/>
      <c r="J14" s="3"/>
      <c r="K14" s="3"/>
      <c r="L14" s="3" t="s">
        <v>112</v>
      </c>
    </row>
    <row r="15" spans="1:12" ht="58" customHeight="1" x14ac:dyDescent="0.5">
      <c r="A15" s="3" t="s">
        <v>113</v>
      </c>
      <c r="B15" s="3" t="s">
        <v>17</v>
      </c>
      <c r="C15" s="3" t="s">
        <v>114</v>
      </c>
      <c r="D15" s="3" t="s">
        <v>115</v>
      </c>
      <c r="E15" s="3" t="s">
        <v>42</v>
      </c>
      <c r="F15" s="3" t="s">
        <v>43</v>
      </c>
      <c r="G15" s="3" t="s">
        <v>62</v>
      </c>
      <c r="H15" s="3" t="s">
        <v>116</v>
      </c>
      <c r="I15" s="3"/>
      <c r="J15" s="3"/>
      <c r="K15" s="3"/>
      <c r="L15" s="3"/>
    </row>
  </sheetData>
  <autoFilter ref="A1:L15" xr:uid="{00000000-0009-0000-0000-000001000000}"/>
  <dataValidations count="1">
    <dataValidation type="list" allowBlank="1" showInputMessage="1" showErrorMessage="1" sqref="G2:G15" xr:uid="{00000000-0002-0000-0100-000000000000}">
      <formula1>"Chưa bắt đầu,Đang làm,Chờ phối hợp,Chờ review,Đã xong,Bị chặn"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zoomScaleNormal="100" workbookViewId="0"/>
  </sheetViews>
  <sheetFormatPr defaultRowHeight="12.9" customHeight="1" x14ac:dyDescent="0.5"/>
  <cols>
    <col min="1" max="1" width="27.6171875" style="1" customWidth="1"/>
    <col min="2" max="2" width="48.6171875" style="1" customWidth="1"/>
    <col min="3" max="5" width="22.6171875" style="1" customWidth="1"/>
    <col min="6" max="6" width="8.76171875" style="1" customWidth="1"/>
    <col min="7" max="16384" width="8.76171875" style="1"/>
  </cols>
  <sheetData>
    <row r="1" spans="1:6" ht="34" customHeight="1" x14ac:dyDescent="0.9">
      <c r="A1" s="9" t="s">
        <v>117</v>
      </c>
      <c r="B1" s="9"/>
      <c r="C1" s="9"/>
      <c r="D1" s="9"/>
      <c r="E1" s="9"/>
    </row>
    <row r="2" spans="1:6" ht="32.049999999999997" customHeight="1" x14ac:dyDescent="0.5">
      <c r="A2" s="4" t="s">
        <v>118</v>
      </c>
      <c r="B2" s="10" t="s">
        <v>119</v>
      </c>
      <c r="C2" s="8"/>
      <c r="D2" s="8"/>
      <c r="E2" s="8"/>
    </row>
    <row r="3" spans="1:6" ht="32.049999999999997" customHeight="1" x14ac:dyDescent="0.5">
      <c r="A3" s="4" t="s">
        <v>120</v>
      </c>
      <c r="B3" s="7" t="s">
        <v>132</v>
      </c>
      <c r="C3" s="8"/>
      <c r="D3" s="8"/>
      <c r="E3" s="8"/>
    </row>
    <row r="4" spans="1:6" ht="32.049999999999997" customHeight="1" x14ac:dyDescent="0.5">
      <c r="A4" s="4" t="s">
        <v>121</v>
      </c>
      <c r="B4" s="5" t="str">
        <f>COUNTIF(Backlog!G2:G11,"Đã xong")&amp;" / 10"</f>
        <v>2 / 10</v>
      </c>
    </row>
    <row r="5" spans="1:6" ht="32.049999999999997" customHeight="1" x14ac:dyDescent="0.5">
      <c r="A5" s="4" t="s">
        <v>122</v>
      </c>
      <c r="B5" s="6">
        <f>COUNTIF(Backlog!G2:G11,"Đã xong")/10</f>
        <v>0.2</v>
      </c>
    </row>
    <row r="6" spans="1:6" ht="32.049999999999997" customHeight="1" x14ac:dyDescent="0.5">
      <c r="A6" s="4" t="s">
        <v>62</v>
      </c>
      <c r="B6" s="5">
        <f>COUNTIF(Backlog!G2:G11,"Chưa bắt đầu")</f>
        <v>6</v>
      </c>
    </row>
    <row r="7" spans="1:6" ht="32.049999999999997" customHeight="1" x14ac:dyDescent="0.5">
      <c r="A7" s="4" t="s">
        <v>52</v>
      </c>
      <c r="B7" s="5">
        <f>COUNTIF(Backlog!G2:G11,"Đang làm")</f>
        <v>1</v>
      </c>
    </row>
    <row r="8" spans="1:6" ht="32.049999999999997" customHeight="1" x14ac:dyDescent="0.5">
      <c r="A8" s="4" t="s">
        <v>123</v>
      </c>
      <c r="B8" s="5">
        <f>COUNTIF(Backlog!G2:G11,"Chờ review")+COUNTIF(Backlog!G2:G11,"Chờ phối hợp")</f>
        <v>1</v>
      </c>
    </row>
    <row r="9" spans="1:6" ht="32.049999999999997" customHeight="1" x14ac:dyDescent="0.5">
      <c r="A9" s="4" t="s">
        <v>124</v>
      </c>
      <c r="B9" s="5">
        <f>COUNTIF(Backlog!G2:G11,"Bị chặn")</f>
        <v>0</v>
      </c>
    </row>
    <row r="10" spans="1:6" ht="32.049999999999997" customHeight="1" x14ac:dyDescent="0.5">
      <c r="A10" s="4" t="s">
        <v>125</v>
      </c>
      <c r="B10" s="7" t="s">
        <v>126</v>
      </c>
      <c r="C10" s="8"/>
      <c r="D10" s="8"/>
      <c r="E10" s="8"/>
    </row>
    <row r="11" spans="1:6" ht="32.049999999999997" customHeight="1" x14ac:dyDescent="0.5">
      <c r="A11" s="4" t="s">
        <v>127</v>
      </c>
      <c r="B11" s="7" t="s">
        <v>128</v>
      </c>
      <c r="C11" s="8"/>
      <c r="D11" s="8"/>
      <c r="E11" s="8"/>
    </row>
    <row r="12" spans="1:6" ht="32.049999999999997" customHeight="1" x14ac:dyDescent="0.5">
      <c r="A12" s="4" t="s">
        <v>129</v>
      </c>
      <c r="B12" s="7" t="s">
        <v>130</v>
      </c>
      <c r="C12" s="8"/>
      <c r="D12" s="8"/>
      <c r="E12" s="8"/>
    </row>
    <row r="15" spans="1:6" x14ac:dyDescent="0.5">
      <c r="F15" s="1" t="s">
        <v>43</v>
      </c>
    </row>
  </sheetData>
  <mergeCells count="6">
    <mergeCell ref="B12:E12"/>
    <mergeCell ref="A1:E1"/>
    <mergeCell ref="B2:E2"/>
    <mergeCell ref="B3:E3"/>
    <mergeCell ref="B10:E10"/>
    <mergeCell ref="B11:E11"/>
  </mergeCells>
  <hyperlinks>
    <hyperlink ref="B2"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3</vt:i4>
      </vt:variant>
      <vt:variant>
        <vt:lpstr>Phạm vi Có tên</vt:lpstr>
      </vt:variant>
      <vt:variant>
        <vt:i4>1</vt:i4>
      </vt:variant>
    </vt:vector>
  </HeadingPairs>
  <TitlesOfParts>
    <vt:vector size="4" baseType="lpstr">
      <vt:lpstr>Sprint</vt:lpstr>
      <vt:lpstr>Backlog</vt:lpstr>
      <vt:lpstr>Tong quan</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2026-10-06T16:30:57Z</dcterms:created>
  <dcterms:modified xsi:type="dcterms:W3CDTF">2026-10-17T15:41:17Z</dcterms:modified>
</cp:coreProperties>
</file>