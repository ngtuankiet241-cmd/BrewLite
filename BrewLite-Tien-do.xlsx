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202300"/>
  <xr:revisionPtr revIDLastSave="0" documentId="13_ncr:1_{9D32E8EF-B140-4F16-BC70-226375A098F2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<sst xmlns="http://schemas.openxmlformats.org/spreadsheetml/2006/main" count="185" uniqueCount="141">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</sst>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zoomScaleNormal="100" workbookViewId="0"/>
  </sheetViews>
  <sheetFormatPr defaultRowHeight="12.9" customHeight="1" x14ac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x14ac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138</v>
      </c>
    </row>
    <row r="3" spans="1:6" ht="76" customHeight="1" x14ac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</row>
    <row r="4" spans="1:6" ht="76" customHeight="1" x14ac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16</v>
      </c>
    </row>
    <row r="5" spans="1:6" ht="76" customHeight="1" x14ac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defaultRowHeight="12.9" customHeight="1" x14ac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x14ac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x14ac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/>
      <c r="J2" s="3"/>
      <c r="K2" s="3"/>
      <c r="L2" s="3" t="s">
        <v>46</v>
      </c>
    </row>
    <row r="3" spans="1:12" ht="58" customHeight="1" x14ac:dyDescent="0.5">
      <c r="A3" s="3" t="s">
        <v>47</v>
      </c>
      <c r="B3" s="3" t="s">
        <v>6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132</v>
      </c>
      <c r="H3" s="3" t="s">
        <v>53</v>
      </c>
      <c r="I3" s="3"/>
      <c r="J3" s="3"/>
      <c r="K3" s="3"/>
      <c r="L3" s="3" t="s">
        <v>133</v>
      </c>
    </row>
    <row r="4" spans="1:12" ht="58" customHeight="1" x14ac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s">
        <v>52</v>
      </c>
      <c r="H4" s="3" t="s">
        <v>59</v>
      </c>
      <c r="I4" s="3"/>
      <c r="J4" s="3"/>
      <c r="K4" s="3"/>
      <c r="L4" s="3" t="s">
        <v>135</v>
      </c>
    </row>
    <row r="5" spans="1:12" ht="58" customHeight="1" x14ac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s">
        <v>44</v>
      </c>
      <c r="H5" s="3" t="s">
        <v>63</v>
      </c>
      <c r="I5" s="3"/>
      <c r="J5" s="3"/>
      <c r="K5" s="3" t="s">
        <v>136</v>
      </c>
      <c r="L5" s="3" t="s">
        <v>137</v>
      </c>
    </row>
    <row r="6" spans="1:12" ht="58" customHeight="1" x14ac:dyDescent="0.5">
      <c r="A6" s="3" t="s">
        <v>64</v>
      </c>
      <c r="B6" s="3" t="s">
        <v>11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62</v>
      </c>
      <c r="H6" s="3" t="s">
        <v>69</v>
      </c>
      <c r="I6" s="3"/>
      <c r="J6" s="3"/>
      <c r="K6" s="3"/>
      <c r="L6" s="3" t="s">
        <v>54</v>
      </c>
    </row>
    <row r="7" spans="1:12" ht="58" customHeight="1" x14ac:dyDescent="0.5">
      <c r="A7" s="3" t="s">
        <v>70</v>
      </c>
      <c r="B7" s="3" t="s">
        <v>11</v>
      </c>
      <c r="C7" s="3" t="s">
        <v>71</v>
      </c>
      <c r="D7" s="3" t="s">
        <v>72</v>
      </c>
      <c r="E7" s="3" t="s">
        <v>50</v>
      </c>
      <c r="F7" s="3" t="s">
        <v>51</v>
      </c>
      <c r="G7" s="3" t="s">
        <v>62</v>
      </c>
      <c r="H7" s="3" t="s">
        <v>73</v>
      </c>
      <c r="I7" s="3"/>
      <c r="J7" s="3"/>
      <c r="K7" s="3"/>
      <c r="L7" s="3" t="s">
        <v>54</v>
      </c>
    </row>
    <row r="8" spans="1:12" ht="58" customHeight="1" x14ac:dyDescent="0.5">
      <c r="A8" s="3" t="s">
        <v>74</v>
      </c>
      <c r="B8" s="3" t="s">
        <v>11</v>
      </c>
      <c r="C8" s="3" t="s">
        <v>75</v>
      </c>
      <c r="D8" s="3" t="s">
        <v>76</v>
      </c>
      <c r="E8" s="3" t="s">
        <v>77</v>
      </c>
      <c r="F8" s="3" t="s">
        <v>78</v>
      </c>
      <c r="G8" s="3" t="s">
        <v>62</v>
      </c>
      <c r="H8" s="3" t="s">
        <v>79</v>
      </c>
      <c r="I8" s="3"/>
      <c r="J8" s="3"/>
      <c r="K8" s="3"/>
      <c r="L8" s="3" t="s">
        <v>80</v>
      </c>
    </row>
    <row r="9" spans="1:12" ht="58" customHeight="1" x14ac:dyDescent="0.5">
      <c r="A9" s="3" t="s">
        <v>81</v>
      </c>
      <c r="B9" s="3" t="s">
        <v>17</v>
      </c>
      <c r="C9" s="3" t="s">
        <v>82</v>
      </c>
      <c r="D9" s="3" t="s">
        <v>83</v>
      </c>
      <c r="E9" s="3" t="s">
        <v>84</v>
      </c>
      <c r="F9" s="3" t="s">
        <v>85</v>
      </c>
      <c r="G9" s="3" t="s">
        <v>62</v>
      </c>
      <c r="H9" s="3" t="s">
        <v>86</v>
      </c>
      <c r="I9" s="3"/>
      <c r="J9" s="3"/>
      <c r="K9" s="3"/>
      <c r="L9" s="3" t="s">
        <v>87</v>
      </c>
    </row>
    <row r="10" spans="1:12" ht="58" customHeight="1" x14ac:dyDescent="0.5">
      <c r="A10" s="3" t="s">
        <v>88</v>
      </c>
      <c r="B10" s="3" t="s">
        <v>17</v>
      </c>
      <c r="C10" s="3" t="s">
        <v>89</v>
      </c>
      <c r="D10" s="3" t="s">
        <v>90</v>
      </c>
      <c r="E10" s="3" t="s">
        <v>91</v>
      </c>
      <c r="F10" s="3" t="s">
        <v>92</v>
      </c>
      <c r="G10" s="3" t="s">
        <v>62</v>
      </c>
      <c r="H10" s="3" t="s">
        <v>93</v>
      </c>
      <c r="I10" s="3"/>
      <c r="J10" s="3"/>
      <c r="K10" s="3"/>
      <c r="L10" s="3" t="s">
        <v>94</v>
      </c>
    </row>
    <row r="11" spans="1:12" ht="58" customHeight="1" x14ac:dyDescent="0.5">
      <c r="A11" s="3" t="s">
        <v>95</v>
      </c>
      <c r="B11" s="3" t="s">
        <v>17</v>
      </c>
      <c r="C11" s="3" t="s">
        <v>96</v>
      </c>
      <c r="D11" s="3" t="s">
        <v>97</v>
      </c>
      <c r="E11" s="3" t="s">
        <v>98</v>
      </c>
      <c r="F11" s="3" t="s">
        <v>99</v>
      </c>
      <c r="G11" s="3" t="s">
        <v>62</v>
      </c>
      <c r="H11" s="3" t="s">
        <v>100</v>
      </c>
      <c r="I11" s="3"/>
      <c r="J11" s="3"/>
      <c r="K11" s="3"/>
      <c r="L11" s="3"/>
    </row>
    <row r="12" spans="1:12" ht="58" customHeight="1" x14ac:dyDescent="0.5">
      <c r="A12" s="3" t="s">
        <v>101</v>
      </c>
      <c r="B12" s="3" t="s">
        <v>22</v>
      </c>
      <c r="C12" s="3" t="s">
        <v>102</v>
      </c>
      <c r="D12" s="3" t="s">
        <v>103</v>
      </c>
      <c r="E12" s="3" t="s">
        <v>42</v>
      </c>
      <c r="F12" s="3" t="s">
        <v>43</v>
      </c>
      <c r="G12" s="3" t="s">
        <v>52</v>
      </c>
      <c r="H12" s="3" t="s">
        <v>22</v>
      </c>
      <c r="I12" s="3"/>
      <c r="J12" s="3"/>
      <c r="K12" s="3"/>
      <c r="L12" s="3" t="s">
        <v>139</v>
      </c>
    </row>
    <row r="13" spans="1:12" ht="58" customHeight="1" x14ac:dyDescent="0.5">
      <c r="A13" s="3" t="s">
        <v>104</v>
      </c>
      <c r="B13" s="3" t="s">
        <v>17</v>
      </c>
      <c r="C13" s="3" t="s">
        <v>105</v>
      </c>
      <c r="D13" s="3" t="s">
        <v>106</v>
      </c>
      <c r="E13" s="3" t="s">
        <v>42</v>
      </c>
      <c r="F13" s="3" t="s">
        <v>43</v>
      </c>
      <c r="G13" s="3" t="s">
        <v>62</v>
      </c>
      <c r="H13" s="3" t="s">
        <v>107</v>
      </c>
      <c r="I13" s="3"/>
      <c r="J13" s="3"/>
      <c r="K13" s="3"/>
      <c r="L13" s="3"/>
    </row>
    <row r="14" spans="1:12" ht="58" customHeight="1" x14ac:dyDescent="0.5">
      <c r="A14" s="3" t="s">
        <v>108</v>
      </c>
      <c r="B14" s="3" t="s">
        <v>22</v>
      </c>
      <c r="C14" s="3" t="s">
        <v>109</v>
      </c>
      <c r="D14" s="3" t="s">
        <v>110</v>
      </c>
      <c r="E14" s="3" t="s">
        <v>42</v>
      </c>
      <c r="F14" s="3" t="s">
        <v>43</v>
      </c>
      <c r="G14" s="3" t="s">
        <v>44</v>
      </c>
      <c r="H14" s="3" t="s">
        <v>111</v>
      </c>
      <c r="I14" s="3"/>
      <c r="J14" s="3"/>
      <c r="K14" s="3" t="s">
        <v>136</v>
      </c>
      <c r="L14" s="3" t="s">
        <v>140</v>
      </c>
    </row>
    <row r="15" spans="1:12" ht="58" customHeight="1" x14ac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43</v>
      </c>
      <c r="G15" s="3" t="s">
        <v>62</v>
      </c>
      <c r="H15" s="3" t="s">
        <v>115</v>
      </c>
      <c r="I15" s="3"/>
      <c r="J15" s="3"/>
      <c r="K15" s="3"/>
      <c r="L15" s="3"/>
    </row>
  </sheetData>
  <autoFilter ref="A1:L15" xr:uid="{00000000-0009-0000-0000-000001000000}"/>
  <dataValidations count="1">
    <dataValidation type="list" allowBlank="1" showInputMessage="1" showErrorMessage="1" sqref="G2:G15" xr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zoomScaleNormal="100" workbookViewId="0"/>
  </sheetViews>
  <sheetFormatPr defaultRowHeight="12.9" customHeight="1" x14ac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x14ac:dyDescent="0.9">
      <c r="A1" s="9" t="s">
        <v>116</v>
      </c>
      <c r="B1" s="9"/>
      <c r="C1" s="9"/>
      <c r="D1" s="9"/>
      <c r="E1" s="9"/>
    </row>
    <row r="2" spans="1:6" ht="32.049999999999997" customHeight="1" x14ac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x14ac:dyDescent="0.5">
      <c r="A3" s="4" t="s">
        <v>119</v>
      </c>
      <c r="B3" s="7" t="s">
        <v>131</v>
      </c>
      <c r="C3" s="8"/>
      <c r="D3" s="8"/>
      <c r="E3" s="8"/>
    </row>
    <row r="4" spans="1:6" ht="32.049999999999997" customHeight="1" x14ac:dyDescent="0.5">
      <c r="A4" s="4" t="s">
        <v>120</v>
      </c>
      <c r="B4" s="5" t="str">
        <f>COUNTIF(Backlog!G2:G11,"Đã xong")&amp;" / 10"</f>
        <v>2 / 10</v>
      </c>
    </row>
    <row r="5" spans="1:6" ht="32.049999999999997" customHeight="1" x14ac:dyDescent="0.5">
      <c r="A5" s="4" t="s">
        <v>121</v>
      </c>
      <c r="B5" s="6">
        <f>COUNTIF(Backlog!G2:G11,"Đã xong")/10</f>
        <v>0.2</v>
      </c>
    </row>
    <row r="6" spans="1:6" ht="32.049999999999997" customHeight="1" x14ac:dyDescent="0.5">
      <c r="A6" s="4" t="s">
        <v>62</v>
      </c>
      <c r="B6" s="5">
        <f>COUNTIF(Backlog!G2:G11,"Chưa bắt đầu")</f>
        <v>6</v>
      </c>
    </row>
    <row r="7" spans="1:6" ht="32.049999999999997" customHeight="1" x14ac:dyDescent="0.5">
      <c r="A7" s="4" t="s">
        <v>52</v>
      </c>
      <c r="B7" s="5">
        <f>COUNTIF(Backlog!G2:G11,"Đang làm")</f>
        <v>1</v>
      </c>
    </row>
    <row r="8" spans="1:6" ht="32.049999999999997" customHeight="1" x14ac:dyDescent="0.5">
      <c r="A8" s="4" t="s">
        <v>122</v>
      </c>
      <c r="B8" s="5">
        <f>COUNTIF(Backlog!G2:G11,"Chờ review")+COUNTIF(Backlog!G2:G11,"Chờ phối hợp")</f>
        <v>1</v>
      </c>
    </row>
    <row r="9" spans="1:6" ht="32.049999999999997" customHeight="1" x14ac:dyDescent="0.5">
      <c r="A9" s="4" t="s">
        <v>123</v>
      </c>
      <c r="B9" s="5">
        <f>COUNTIF(Backlog!G2:G11,"Bị chặn")</f>
        <v>0</v>
      </c>
    </row>
    <row r="10" spans="1:6" ht="32.049999999999997" customHeight="1" x14ac:dyDescent="0.5">
      <c r="A10" s="4" t="s">
        <v>124</v>
      </c>
      <c r="B10" s="7" t="s">
        <v>125</v>
      </c>
      <c r="C10" s="8"/>
      <c r="D10" s="8"/>
      <c r="E10" s="8"/>
    </row>
    <row r="11" spans="1:6" ht="32.049999999999997" customHeight="1" x14ac:dyDescent="0.5">
      <c r="A11" s="4" t="s">
        <v>126</v>
      </c>
      <c r="B11" s="7" t="s">
        <v>127</v>
      </c>
      <c r="C11" s="8"/>
      <c r="D11" s="8"/>
      <c r="E11" s="8"/>
    </row>
    <row r="12" spans="1:6" ht="32.049999999999997" customHeight="1" x14ac:dyDescent="0.5">
      <c r="A12" s="4" t="s">
        <v>128</v>
      </c>
      <c r="B12" s="7" t="s">
        <v>129</v>
      </c>
      <c r="C12" s="8"/>
      <c r="D12" s="8"/>
      <c r="E12" s="8"/>
    </row>
    <row r="15" spans="1:6" x14ac:dyDescent="0.5">
      <c r="F15" s="1" t="s">
        <v>43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