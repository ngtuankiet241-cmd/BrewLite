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defaultThemeVersion="202300"/>
  <xr:revisionPtr revIDLastSave="0" documentId="13_ncr:1_{6EC2D211-3495-4941-9D3D-A7090A01CF1E}" xr6:coauthVersionLast="47" xr6:coauthVersionMax="47" xr10:uidLastSave="{00000000-0000-0000-0000-000000000000}"/>
  <bookViews>
    <workbookView xWindow="-96" yWindow="-96" windowWidth="23232" windowHeight="13152" xr2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<sst xmlns="http://schemas.openxmlformats.org/spreadsheetml/2006/main" count="165" uniqueCount="124">
  <si>
    <t>ID</t>
  </si>
  <si>
    <t>Sprint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</si>
  <si>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</si>
  <si>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</si>
  <si>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</si>
  <si>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</si>
  <si>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</si>
  <si>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</si>
  <si>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</si>
  <si>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</si>
  <si>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</si>
  <si>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</si>
  <si>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</si>
  <si>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Sprint 1</t>
  </si>
  <si>
    <t>Khởi tạo dự án và cấu trúc</t>
  </si>
  <si>
    <t>[x] Có frontend Next.js và backend NestJS; [x] README, Git, .env.example; [x] build được.</t>
  </si>
  <si>
    <t>Đã xong</t>
  </si>
  <si>
    <t>Nền tảng</t>
  </si>
  <si>
    <t>Khung đã push lên main theo xác nhận của trưởng nhóm.</t>
  </si>
  <si>
    <t>Task 2</t>
  </si>
  <si>
    <t>API danh sách sản phẩm</t>
  </si>
  <si>
    <t>[ ] GET /products trả JSON menu có id, tên, giá, ảnh từ dữ liệu mẫu hoặc CSDL.</t>
  </si>
  <si>
    <t>C</t>
  </si>
  <si>
    <t>Chưa bắt đầu</t>
  </si>
  <si>
    <t>Sau Task 1; phối hợp A về cấu trúc dữ liệu</t>
  </si>
  <si>
    <t>Task 3</t>
  </si>
  <si>
    <t>Trang menu (frontend)</t>
  </si>
  <si>
    <t>[ ] Gọi GET /products; [ ] hiển thị lưới sản phẩm; [ ] có loading/empty state.</t>
  </si>
  <si>
    <t>A</t>
  </si>
  <si>
    <t>Sau thống nhất hợp đồng dữ liệu với C; có thể dùng dữ liệu mẫu trước</t>
  </si>
  <si>
    <t>Task 4</t>
  </si>
  <si>
    <t>Chi tiết và tùy chọn sản phẩm</t>
  </si>
  <si>
    <t>[ ] Trang chi tiết; [ ] chọn size S/M/L và topping; [ ] tính giá theo tùy chọn.</t>
  </si>
  <si>
    <t>Dựa trên danh sách sản phẩm Task 2–3</t>
  </si>
  <si>
    <t>Task 5</t>
  </si>
  <si>
    <t>Sprint 2</t>
  </si>
  <si>
    <t>Giỏ hàng (Cart)</t>
  </si>
  <si>
    <t>[ ] Thêm/sửa số lượng/xóa; [ ] giữ trạng thái giỏ; [ ] tính tổng tiền; [ ] badge số lượng.</t>
  </si>
  <si>
    <t>B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</si>
  <si>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</si>
  <si>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</si>
  <si>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</si>
  <si>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</si>
  <si>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</si>
  <si>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</si>
  <si>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</si>
  <si>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</si>
  <si>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</si>
  <si>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Phối hợp C về userId trong đơn hàng</t>
  </si>
  <si>
    <t>Task 8</t>
  </si>
  <si>
    <t>Sprint 3</t>
  </si>
  <si>
    <t>Thanh toán không tiền mặt (mock)</t>
  </si>
  <si>
    <t>[ ] Chọn Ví/Thẻ; [ ] POST /payments; [ ] thành công → PAID; [ ] lỗi → PAYMENT_FAILED.</t>
  </si>
  <si>
    <t>B + D</t>
  </si>
  <si>
    <t>B làm UI, D làm API; E hỗ trợ idempotency Task 10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</si>
  <si>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</si>
  <si>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</si>
  <si>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</si>
  <si>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</si>
  <si>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B UI; C API; F tích hợp, Compose, README, demo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</si>
  <si>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</si>
  <si>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</si>
  <si>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</si>
  <si>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</si>
  <si>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E phụ trách; C hỗ trợ đơn/tồn kho, D hỗ trợ thanh toán; bắt đầu thiết kế sớm</t>
  </si>
  <si>
    <t>F-01</t>
  </si>
  <si>
    <t>Xuyên suốt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</si>
  <si>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</si>
  <si>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</si>
  <si>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</si>
  <si>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</si>
  <si>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</si>
  <si>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</si>
  <si>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</si>
  <si>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</si>
  <si>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</si>
  <si>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Đang làm</t>
  </si>
  <si>
    <t>Cập nhật cùng tiến độ; hoàn thiện ở Sprint 3</t>
  </si>
  <si>
    <t>README ban đầu đã có, tiếp tục bổ sung.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</si>
  <si>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</si>
  <si>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</si>
  <si>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</si>
  <si>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</si>
  <si>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</si>
  <si>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</si>
  <si>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</si>
  <si>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</si>
  <si>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Cập nhật người phụ trách sau khi bình chọn; đổi trạng thái ở sheet Backlog.</t>
  </si>
  <si>
    <t>Task chấm điểm hoàn thành</t>
  </si>
  <si>
    <t>Tiến độ task chấm điểm</t>
  </si>
  <si>
    <t>Chờ review / phối hợp</t>
  </si>
  <si>
    <t>Bị chặn</t>
  </si>
  <si>
    <t>Lưu ý</t>
  </si>
  <si>
    <t>A–E là mảng chờ bình chọn lại; cột Người phụ trách đang để trống, chưa gán theo lựa chọn cũ.</t>
  </si>
  <si>
    <t>Thời hạn</t>
  </si>
  <si>
    <t>Chưa có ngày hạn trong thông tin hiện tại; điền khi nhóm xác nhận.</t>
  </si>
  <si>
    <t>Kiệt</t>
  </si>
  <si>
    <t>Kiệt — mảng F</t>
  </si>
  <si>
    <t>Kiệt phụ trách điều phối, tích hợp, README, Docker Compose và demo. Task 1 đã dựng khung và được đánh dấu hoàn thành.</t>
  </si>
  <si>
    <t>F — Kiệt</t>
  </si>
  <si>
    <t>Mục tiêu</t>
  </si>
  <si>
    <t>Task dự kiến</t>
  </si>
  <si>
    <t>Review: demo gì?</t>
  </si>
  <si>
    <t>Retrospective: câu hỏi</t>
  </si>
  <si>
    <t>Trạng thái tổng quan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</si>
  <si>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</si>
  <si>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</si>
  <si>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</si>
  <si>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</si>
  <si>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Task 1 hoàn tất; Tasks 2–4 chưa bắt đầu.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</si>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</sst>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zoomScaleNormal="100" workbookViewId="0"/>
  </sheetViews>
  <sheetFormatPr defaultRowHeight="12.9" customHeight="1" x14ac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x14ac:dyDescent="0.5">
      <c r="A1" s="2" t="s">
        <v>1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</row>
    <row r="2" spans="1:6" ht="76" customHeight="1" x14ac:dyDescent="0.5">
      <c r="A2" s="3" t="s">
        <v>13</v>
      </c>
      <c r="B2" s="3" t="s">
        <v>105</v>
      </c>
      <c r="C2" s="3" t="s">
        <v>106</v>
      </c>
      <c r="D2" s="3" t="s">
        <v>107</v>
      </c>
      <c r="E2" s="3" t="s">
        <v>108</v>
      </c>
      <c r="F2" s="3" t="s">
        <v>109</v>
      </c>
    </row>
    <row r="3" spans="1:6" ht="76" customHeight="1" x14ac:dyDescent="0.5">
      <c r="A3" s="3" t="s">
        <v>35</v>
      </c>
      <c r="B3" s="3" t="s">
        <v>110</v>
      </c>
      <c r="C3" s="3" t="s">
        <v>111</v>
      </c>
      <c r="D3" s="3" t="s">
        <v>112</v>
      </c>
      <c r="E3" s="3" t="s">
        <v>113</v>
      </c>
      <c r="F3" s="3" t="s">
        <v>114</v>
      </c>
    </row>
    <row r="4" spans="1:6" ht="76" customHeight="1" x14ac:dyDescent="0.5">
      <c r="A4" s="3" t="s">
        <v>50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114</v>
      </c>
    </row>
    <row r="5" spans="1:6" ht="76" customHeight="1" x14ac:dyDescent="0.5">
      <c r="A5" s="3" t="s">
        <v>66</v>
      </c>
      <c r="B5" s="3" t="s">
        <v>119</v>
      </c>
      <c r="C5" s="3" t="s">
        <v>120</v>
      </c>
      <c r="D5" s="3" t="s">
        <v>121</v>
      </c>
      <c r="E5" s="3" t="s">
        <v>122</v>
      </c>
      <c r="F5" s="3" t="s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/>
  </sheetViews>
  <sheetFormatPr defaultRowHeight="12.9" customHeight="1" x14ac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58" customHeight="1" x14ac:dyDescent="0.5">
      <c r="A2" s="3" t="s">
        <v>12</v>
      </c>
      <c r="B2" s="3" t="s">
        <v>13</v>
      </c>
      <c r="C2" s="3" t="s">
        <v>14</v>
      </c>
      <c r="D2" s="3" t="s">
        <v>15</v>
      </c>
      <c r="E2" s="3" t="s">
        <v>99</v>
      </c>
      <c r="F2" s="3" t="s">
        <v>96</v>
      </c>
      <c r="G2" s="3" t="s">
        <v>16</v>
      </c>
      <c r="H2" s="3" t="s">
        <v>17</v>
      </c>
      <c r="I2" s="3"/>
      <c r="J2" s="3"/>
      <c r="K2" s="3"/>
      <c r="L2" s="3" t="s">
        <v>18</v>
      </c>
    </row>
    <row r="3" spans="1:12" ht="58" customHeight="1" x14ac:dyDescent="0.5">
      <c r="A3" s="3" t="s">
        <v>19</v>
      </c>
      <c r="B3" s="3" t="s">
        <v>13</v>
      </c>
      <c r="C3" s="3" t="s">
        <v>20</v>
      </c>
      <c r="D3" s="3" t="s">
        <v>21</v>
      </c>
      <c r="E3" s="3" t="s">
        <v>22</v>
      </c>
      <c r="F3" s="3"/>
      <c r="G3" s="3" t="s">
        <v>23</v>
      </c>
      <c r="H3" s="3" t="s">
        <v>24</v>
      </c>
      <c r="I3" s="3"/>
      <c r="J3" s="3"/>
      <c r="K3" s="3"/>
      <c r="L3" s="3"/>
    </row>
    <row r="4" spans="1:12" ht="58" customHeight="1" x14ac:dyDescent="0.5">
      <c r="A4" s="3" t="s">
        <v>25</v>
      </c>
      <c r="B4" s="3" t="s">
        <v>13</v>
      </c>
      <c r="C4" s="3" t="s">
        <v>26</v>
      </c>
      <c r="D4" s="3" t="s">
        <v>27</v>
      </c>
      <c r="E4" s="3" t="s">
        <v>28</v>
      </c>
      <c r="F4" s="3"/>
      <c r="G4" s="3" t="s">
        <v>23</v>
      </c>
      <c r="H4" s="3" t="s">
        <v>29</v>
      </c>
      <c r="I4" s="3"/>
      <c r="J4" s="3"/>
      <c r="K4" s="3"/>
      <c r="L4" s="3"/>
    </row>
    <row r="5" spans="1:12" ht="58" customHeight="1" x14ac:dyDescent="0.5">
      <c r="A5" s="3" t="s">
        <v>30</v>
      </c>
      <c r="B5" s="3" t="s">
        <v>13</v>
      </c>
      <c r="C5" s="3" t="s">
        <v>31</v>
      </c>
      <c r="D5" s="3" t="s">
        <v>32</v>
      </c>
      <c r="E5" s="3" t="s">
        <v>28</v>
      </c>
      <c r="F5" s="3"/>
      <c r="G5" s="3" t="s">
        <v>23</v>
      </c>
      <c r="H5" s="3" t="s">
        <v>33</v>
      </c>
      <c r="I5" s="3"/>
      <c r="J5" s="3"/>
      <c r="K5" s="3"/>
      <c r="L5" s="3"/>
    </row>
    <row r="6" spans="1:12" ht="58" customHeight="1" x14ac:dyDescent="0.5">
      <c r="A6" s="3" t="s">
        <v>34</v>
      </c>
      <c r="B6" s="3" t="s">
        <v>35</v>
      </c>
      <c r="C6" s="3" t="s">
        <v>36</v>
      </c>
      <c r="D6" s="3" t="s">
        <v>37</v>
      </c>
      <c r="E6" s="3" t="s">
        <v>38</v>
      </c>
      <c r="F6" s="3"/>
      <c r="G6" s="3" t="s">
        <v>23</v>
      </c>
      <c r="H6" s="3" t="s">
        <v>39</v>
      </c>
      <c r="I6" s="3"/>
      <c r="J6" s="3"/>
      <c r="K6" s="3"/>
      <c r="L6" s="3"/>
    </row>
    <row r="7" spans="1:12" ht="58" customHeight="1" x14ac:dyDescent="0.5">
      <c r="A7" s="3" t="s">
        <v>40</v>
      </c>
      <c r="B7" s="3" t="s">
        <v>35</v>
      </c>
      <c r="C7" s="3" t="s">
        <v>41</v>
      </c>
      <c r="D7" s="3" t="s">
        <v>42</v>
      </c>
      <c r="E7" s="3" t="s">
        <v>22</v>
      </c>
      <c r="F7" s="3"/>
      <c r="G7" s="3" t="s">
        <v>23</v>
      </c>
      <c r="H7" s="3" t="s">
        <v>43</v>
      </c>
      <c r="I7" s="3"/>
      <c r="J7" s="3"/>
      <c r="K7" s="3"/>
      <c r="L7" s="3"/>
    </row>
    <row r="8" spans="1:12" ht="58" customHeight="1" x14ac:dyDescent="0.5">
      <c r="A8" s="3" t="s">
        <v>44</v>
      </c>
      <c r="B8" s="3" t="s">
        <v>35</v>
      </c>
      <c r="C8" s="3" t="s">
        <v>45</v>
      </c>
      <c r="D8" s="3" t="s">
        <v>46</v>
      </c>
      <c r="E8" s="3" t="s">
        <v>47</v>
      </c>
      <c r="F8" s="3"/>
      <c r="G8" s="3" t="s">
        <v>23</v>
      </c>
      <c r="H8" s="3" t="s">
        <v>48</v>
      </c>
      <c r="I8" s="3"/>
      <c r="J8" s="3"/>
      <c r="K8" s="3"/>
      <c r="L8" s="3"/>
    </row>
    <row r="9" spans="1:12" ht="58" customHeight="1" x14ac:dyDescent="0.5">
      <c r="A9" s="3" t="s">
        <v>49</v>
      </c>
      <c r="B9" s="3" t="s">
        <v>50</v>
      </c>
      <c r="C9" s="3" t="s">
        <v>51</v>
      </c>
      <c r="D9" s="3" t="s">
        <v>52</v>
      </c>
      <c r="E9" s="3" t="s">
        <v>53</v>
      </c>
      <c r="F9" s="3"/>
      <c r="G9" s="3" t="s">
        <v>23</v>
      </c>
      <c r="H9" s="3" t="s">
        <v>54</v>
      </c>
      <c r="I9" s="3"/>
      <c r="J9" s="3"/>
      <c r="K9" s="3"/>
      <c r="L9" s="3"/>
    </row>
    <row r="10" spans="1:12" ht="58" customHeight="1" x14ac:dyDescent="0.5">
      <c r="A10" s="3" t="s">
        <v>55</v>
      </c>
      <c r="B10" s="3" t="s">
        <v>50</v>
      </c>
      <c r="C10" s="3" t="s">
        <v>56</v>
      </c>
      <c r="D10" s="3" t="s">
        <v>57</v>
      </c>
      <c r="E10" s="3" t="s">
        <v>58</v>
      </c>
      <c r="F10" s="3"/>
      <c r="G10" s="3" t="s">
        <v>23</v>
      </c>
      <c r="H10" s="3" t="s">
        <v>59</v>
      </c>
      <c r="I10" s="3"/>
      <c r="J10" s="3"/>
      <c r="K10" s="3"/>
      <c r="L10" s="3"/>
    </row>
    <row r="11" spans="1:12" ht="58" customHeight="1" x14ac:dyDescent="0.5">
      <c r="A11" s="3" t="s">
        <v>60</v>
      </c>
      <c r="B11" s="3" t="s">
        <v>50</v>
      </c>
      <c r="C11" s="3" t="s">
        <v>61</v>
      </c>
      <c r="D11" s="3" t="s">
        <v>62</v>
      </c>
      <c r="E11" s="3" t="s">
        <v>63</v>
      </c>
      <c r="F11" s="3"/>
      <c r="G11" s="3" t="s">
        <v>23</v>
      </c>
      <c r="H11" s="3" t="s">
        <v>64</v>
      </c>
      <c r="I11" s="3"/>
      <c r="J11" s="3"/>
      <c r="K11" s="3"/>
      <c r="L11" s="3"/>
    </row>
    <row r="12" spans="1:12" ht="58" customHeight="1" x14ac:dyDescent="0.5">
      <c r="A12" s="3" t="s">
        <v>65</v>
      </c>
      <c r="B12" s="3" t="s">
        <v>66</v>
      </c>
      <c r="C12" s="3" t="s">
        <v>67</v>
      </c>
      <c r="D12" s="3" t="s">
        <v>68</v>
      </c>
      <c r="E12" s="3" t="s">
        <v>99</v>
      </c>
      <c r="F12" s="3" t="s">
        <v>96</v>
      </c>
      <c r="G12" s="3" t="s">
        <v>23</v>
      </c>
      <c r="H12" s="3" t="s">
        <v>66</v>
      </c>
      <c r="I12" s="3"/>
      <c r="J12" s="3"/>
      <c r="K12" s="3"/>
      <c r="L12" s="3"/>
    </row>
    <row r="13" spans="1:12" ht="58" customHeight="1" x14ac:dyDescent="0.5">
      <c r="A13" s="3" t="s">
        <v>69</v>
      </c>
      <c r="B13" s="3" t="s">
        <v>50</v>
      </c>
      <c r="C13" s="3" t="s">
        <v>70</v>
      </c>
      <c r="D13" s="3" t="s">
        <v>71</v>
      </c>
      <c r="E13" s="3" t="s">
        <v>99</v>
      </c>
      <c r="F13" s="3" t="s">
        <v>96</v>
      </c>
      <c r="G13" s="3" t="s">
        <v>23</v>
      </c>
      <c r="H13" s="3" t="s">
        <v>72</v>
      </c>
      <c r="I13" s="3"/>
      <c r="J13" s="3"/>
      <c r="K13" s="3"/>
      <c r="L13" s="3"/>
    </row>
    <row r="14" spans="1:12" ht="58" customHeight="1" x14ac:dyDescent="0.5">
      <c r="A14" s="3" t="s">
        <v>73</v>
      </c>
      <c r="B14" s="3" t="s">
        <v>66</v>
      </c>
      <c r="C14" s="3" t="s">
        <v>74</v>
      </c>
      <c r="D14" s="3" t="s">
        <v>75</v>
      </c>
      <c r="E14" s="3" t="s">
        <v>99</v>
      </c>
      <c r="F14" s="3" t="s">
        <v>96</v>
      </c>
      <c r="G14" s="3" t="s">
        <v>76</v>
      </c>
      <c r="H14" s="3" t="s">
        <v>77</v>
      </c>
      <c r="I14" s="3"/>
      <c r="J14" s="3"/>
      <c r="K14" s="3"/>
      <c r="L14" s="3" t="s">
        <v>78</v>
      </c>
    </row>
    <row r="15" spans="1:12" ht="58" customHeight="1" x14ac:dyDescent="0.5">
      <c r="A15" s="3" t="s">
        <v>79</v>
      </c>
      <c r="B15" s="3" t="s">
        <v>50</v>
      </c>
      <c r="C15" s="3" t="s">
        <v>80</v>
      </c>
      <c r="D15" s="3" t="s">
        <v>81</v>
      </c>
      <c r="E15" s="3" t="s">
        <v>99</v>
      </c>
      <c r="F15" s="3" t="s">
        <v>96</v>
      </c>
      <c r="G15" s="3" t="s">
        <v>23</v>
      </c>
      <c r="H15" s="3" t="s">
        <v>82</v>
      </c>
      <c r="I15" s="3"/>
      <c r="J15" s="3"/>
      <c r="K15" s="3"/>
      <c r="L15" s="3"/>
    </row>
  </sheetData>
  <autoFilter ref="A1:L15" xr:uid="{00000000-0009-0000-0000-000001000000}"/>
  <dataValidations count="1">
    <dataValidation type="list" allowBlank="1" showInputMessage="1" showErrorMessage="1" sqref="G2:G15" xr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zoomScaleNormal="100" workbookViewId="0"/>
  </sheetViews>
  <sheetFormatPr defaultRowHeight="12.9" customHeight="1" x14ac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x14ac:dyDescent="0.9">
      <c r="A1" s="9" t="s">
        <v>83</v>
      </c>
      <c r="B1" s="9"/>
      <c r="C1" s="9"/>
      <c r="D1" s="9"/>
      <c r="E1" s="9"/>
    </row>
    <row r="2" spans="1:6" ht="32.049999999999997" customHeight="1" x14ac:dyDescent="0.5">
      <c r="A2" s="4" t="s">
        <v>84</v>
      </c>
      <c r="B2" s="10" t="s">
        <v>85</v>
      </c>
      <c r="C2" s="8"/>
      <c r="D2" s="8"/>
      <c r="E2" s="8"/>
    </row>
    <row r="3" spans="1:6" ht="32.049999999999997" customHeight="1" x14ac:dyDescent="0.5">
      <c r="A3" s="4" t="s">
        <v>86</v>
      </c>
      <c r="B3" s="7" t="s">
        <v>87</v>
      </c>
      <c r="C3" s="8"/>
      <c r="D3" s="8"/>
      <c r="E3" s="8"/>
    </row>
    <row r="4" spans="1:6" ht="32.049999999999997" customHeight="1" x14ac:dyDescent="0.5">
      <c r="A4" s="4" t="s">
        <v>88</v>
      </c>
      <c r="B4" s="5" t="str">
        <f>COUNTIF(Backlog!G2:G11,"Đã xong")&amp;" / 10"</f>
        <v>1 / 10</v>
      </c>
    </row>
    <row r="5" spans="1:6" ht="32.049999999999997" customHeight="1" x14ac:dyDescent="0.5">
      <c r="A5" s="4" t="s">
        <v>89</v>
      </c>
      <c r="B5" s="6">
        <f>COUNTIF(Backlog!G2:G11,"Đã xong")/10</f>
        <v>0.1</v>
      </c>
    </row>
    <row r="6" spans="1:6" ht="32.049999999999997" customHeight="1" x14ac:dyDescent="0.5">
      <c r="A6" s="4" t="s">
        <v>23</v>
      </c>
      <c r="B6" s="5">
        <f>COUNTIF(Backlog!G2:G11,"Chưa bắt đầu")</f>
        <v>9</v>
      </c>
    </row>
    <row r="7" spans="1:6" ht="32.049999999999997" customHeight="1" x14ac:dyDescent="0.5">
      <c r="A7" s="4" t="s">
        <v>76</v>
      </c>
      <c r="B7" s="5">
        <f>COUNTIF(Backlog!G2:G11,"Đang làm")</f>
        <v>0</v>
      </c>
    </row>
    <row r="8" spans="1:6" ht="32.049999999999997" customHeight="1" x14ac:dyDescent="0.5">
      <c r="A8" s="4" t="s">
        <v>90</v>
      </c>
      <c r="B8" s="5">
        <f>COUNTIF(Backlog!G2:G11,"Chờ review")+COUNTIF(Backlog!G2:G11,"Chờ phối hợp")</f>
        <v>0</v>
      </c>
    </row>
    <row r="9" spans="1:6" ht="32.049999999999997" customHeight="1" x14ac:dyDescent="0.5">
      <c r="A9" s="4" t="s">
        <v>91</v>
      </c>
      <c r="B9" s="5">
        <f>COUNTIF(Backlog!G2:G11,"Bị chặn")</f>
        <v>0</v>
      </c>
    </row>
    <row r="10" spans="1:6" ht="32.049999999999997" customHeight="1" x14ac:dyDescent="0.5">
      <c r="A10" s="4" t="s">
        <v>97</v>
      </c>
      <c r="B10" s="7" t="s">
        <v>98</v>
      </c>
      <c r="C10" s="8"/>
      <c r="D10" s="8"/>
      <c r="E10" s="8"/>
    </row>
    <row r="11" spans="1:6" ht="32.049999999999997" customHeight="1" x14ac:dyDescent="0.5">
      <c r="A11" s="4" t="s">
        <v>92</v>
      </c>
      <c r="B11" s="7" t="s">
        <v>93</v>
      </c>
      <c r="C11" s="8"/>
      <c r="D11" s="8"/>
      <c r="E11" s="8"/>
    </row>
    <row r="12" spans="1:6" ht="32.049999999999997" customHeight="1" x14ac:dyDescent="0.5">
      <c r="A12" s="4" t="s">
        <v>94</v>
      </c>
      <c r="B12" s="7" t="s">
        <v>95</v>
      </c>
      <c r="C12" s="8"/>
      <c r="D12" s="8"/>
      <c r="E12" s="8"/>
    </row>
    <row r="15" spans="1:6" x14ac:dyDescent="0.5">
      <c r="F15" s="1" t="s">
        <v>96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2026-10-06T16:48:49Z</dcterms:modified>
</cp:coreProperties>
</file>